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d803a6dc3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达人名单" sheetId="1" r:id="R1e3bf314089d4a7e"/>
    <x:sheet xmlns:r="http://schemas.openxmlformats.org/officeDocument/2006/relationships" name="主页证据" sheetId="2" r:id="R3318731338e448cf"/>
    <x:sheet xmlns:r="http://schemas.openxmlformats.org/officeDocument/2006/relationships" name="视频证据" sheetId="3" r:id="Rbe39daf8c34a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@"/>
    <x:numFmt numFmtId="203" formatCode="yyyy-mm-dd hh:mm"/>
  </x:numFmts>
  <x:fonts count="4">
    <x:font>
      <x:sz val="11"/>
      <x:name val="Carlito"/>
    </x:font>
    <x:font>
      <x:sz val="10"/>
      <x:color rgb="FF17212F"/>
      <x:name val="Arial"/>
    </x:font>
    <x:font>
      <x:b/>
      <x:sz val="10"/>
      <x:color rgb="FFFFFFFF"/>
      <x:name val="Arial"/>
    </x:font>
    <x:font>
      <x:b/>
      <x:sz val="16"/>
      <x:color rgb="FF17212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B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102f82b7154ccd" /><Relationship Type="http://schemas.openxmlformats.org/officeDocument/2006/relationships/theme" Target="/xl/theme/theme1.xml" Id="R9ee85ecc8a1840ea" /><Relationship Type="http://schemas.openxmlformats.org/officeDocument/2006/relationships/sharedStrings" Target="/xl/sharedStrings.xml" Id="R8a207926a6cb4c08" /><Relationship Type="http://schemas.openxmlformats.org/officeDocument/2006/relationships/worksheet" Target="/xl/worksheets/sheet1.xml" Id="R1e3bf314089d4a7e" /><Relationship Type="http://schemas.openxmlformats.org/officeDocument/2006/relationships/worksheet" Target="/xl/worksheets/sheet2.xml" Id="R3318731338e448cf" /><Relationship Type="http://schemas.openxmlformats.org/officeDocument/2006/relationships/worksheet" Target="/xl/worksheets/sheet3.xml" Id="Rbe39daf8c34a43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.670000076293945" hidden="0" customWidth="1"/>
    <x:col min="2" max="2" width="21.670000076293945" hidden="0" customWidth="1"/>
    <x:col min="3" max="3" width="32.220001220703125" hidden="0" customWidth="1"/>
    <x:col min="4" max="4" width="12.220000267028809" hidden="0" customWidth="1"/>
    <x:col min="5" max="5" width="14.4399995803833" hidden="0" customWidth="1"/>
    <x:col min="6" max="6" width="14.4399995803833" hidden="0" customWidth="1"/>
    <x:col min="7" max="7" width="12.220000267028809" hidden="0" customWidth="1"/>
    <x:col min="8" max="8" width="24.440000534057617" hidden="0" customWidth="1"/>
    <x:col min="9" max="9" width="23.329999923706055" hidden="0" customWidth="1"/>
    <x:col min="10" max="10" width="35.560001373291016" hidden="0" customWidth="1"/>
    <x:col min="11" max="11" width="19.440000534057617" hidden="0" customWidth="1"/>
    <x:col min="12" max="12" width="77.77999877929688" hidden="0" customWidth="1"/>
  </x:cols>
  <x:sheetData>
    <x:row r="1" ht="24" customHeight="1">
      <x:c r="A1" s="5" t="str">
        <x:v>TikTok达人查找结果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2" t="str">
        <x:v>统计窗口（上海）：2026-10-11 至 2026-10-21（结束不含）；均播须严格大于50000。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 t="str">
        <x:v>已确认1位；疑似1位，待人工核验；目标1。视频地区字段不证明本人现居地。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 t="str">
        <x:v>全部关键词搜索及筛选已完成。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4" t="str">
        <x:v>账号</x:v>
      </x:c>
      <x:c r="B6" s="4" t="str">
        <x:v>作者ID</x:v>
      </x:c>
      <x:c r="C6" s="4" t="str">
        <x:v>主页公开邮箱</x:v>
      </x:c>
      <x:c r="D6" s="4" t="str">
        <x:v>窗口视频数</x:v>
      </x:c>
      <x:c r="E6" s="4" t="str">
        <x:v>窗口总播放</x:v>
      </x:c>
      <x:c r="F6" s="4" t="str">
        <x:v>窗口均播</x:v>
      </x:c>
      <x:c r="G6" s="4" t="str">
        <x:v>视频地区</x:v>
      </x:c>
      <x:c r="H6" s="4" t="str">
        <x:v>来源关键词</x:v>
      </x:c>
      <x:c r="I6" s="4" t="str">
        <x:v>复核状态</x:v>
      </x:c>
      <x:c r="J6" s="4" t="str">
        <x:v>主页链接</x:v>
      </x:c>
      <x:c r="K6" s="4" t="str">
        <x:v>采集时间（上海）</x:v>
      </x:c>
      <x:c r="L6" s="4" t="str">
        <x:v>收录依据</x:v>
      </x:c>
    </x:row>
    <x:row r="7" ht="120" hidden="0" customHeight="1">
      <x:c r="A7" s="2" t="str">
        <x:v>@fixture_confirmed</x:v>
      </x:c>
      <x:c r="B7" s="8" t="str">
        <x:v>9000000000000000001</x:v>
      </x:c>
      <x:c r="C7" s="10" t="str">
        <x:v>public@example.com</x:v>
      </x:c>
      <x:c r="D7" s="11" t="n">
        <x:f>COUNTIFS('视频证据'!$A$2:$A$3,A7,'视频证据'!$F$2:$F$3,1)</x:f>
        <x:v>1</x:v>
      </x:c>
      <x:c r="E7" s="11" t="n">
        <x:f>SUMIFS('视频证据'!$E$2:$E$3,'视频证据'!$A$2:$A$3,A7,'视频证据'!$F$2:$F$3,1)</x:f>
        <x:v>60000</x:v>
      </x:c>
      <x:c r="F7" s="12" t="n">
        <x:f>IF(D7&gt;0,E7/D7,"")</x:f>
        <x:v>60000</x:v>
      </x:c>
      <x:c r="G7" s="14" t="str">
        <x:v>US</x:v>
      </x:c>
      <x:c r="H7" s="14" t="str">
        <x:v>christian skits；bible comedy</x:v>
      </x:c>
      <x:c r="I7" s="14" t="str">
        <x:v>已确认</x:v>
      </x:c>
      <x:c r="J7" s="10" t="str">
        <x:v>https://www.tiktok.com/@fixture_confirmed</x:v>
      </x:c>
      <x:c r="K7" s="13" t="d">
        <x:v>2026-10-21T12:00:00.000Z</x:v>
      </x:c>
      <x:c r="L7" s="10" t="str">
        <x:v>内容：2026-10-15T00:00:00.000Z #christianskit（https://www.tiktok.com/@fixture_confirmed/video/7777777777777777771）； #christianskit（https://www.tiktok.com/@fixture_confirmed/video/7777777777777777771）； #christianskit（https://www.tiktok.com/@fixture_confirmed/video/7777777777777777771）。
邮箱：public@example.com；来源 https://www.tiktok.com/@fixture_confirmed，采集 2026-10-21T04:00:00Z。
播放：2026-10-10T16:00:00.000Z 至 2026-10-20T16:00:00.000Z（结束不含），1条视频，算术均播60000，须严格大于50000；覆盖完整。
地区：最新公开视频locationCreated=US；字段不证明本人现居地。
判定：confirmed；all_conditions_verified。</x:v>
      </x:c>
    </x:row>
    <x:row r="8" ht="120" hidden="0" customHeight="1">
      <x:c r="A8" s="2" t="str">
        <x:v>@fixture_suspected</x:v>
      </x:c>
      <x:c r="B8" s="8" t="str">
        <x:v>9000000000000000002</x:v>
      </x:c>
      <x:c r="C8" s="10" t="str">
        <x:v>public@example.com</x:v>
      </x:c>
      <x:c r="D8" s="11" t="n">
        <x:f>COUNTIFS('视频证据'!$A$2:$A$3,A8,'视频证据'!$F$2:$F$3,1)</x:f>
        <x:v>1</x:v>
      </x:c>
      <x:c r="E8" s="11" t="n">
        <x:f>SUMIFS('视频证据'!$E$2:$E$3,'视频证据'!$A$2:$A$3,A8,'视频证据'!$F$2:$F$3,1)</x:f>
        <x:v>60000</x:v>
      </x:c>
      <x:c r="F8" s="12" t="n">
        <x:f>IF(D8&gt;0,E8/D8,"")</x:f>
        <x:v>60000</x:v>
      </x:c>
      <x:c r="G8" s="14" t="str">
        <x:v>US</x:v>
      </x:c>
      <x:c r="H8" s="14" t="str">
        <x:v>christian skits</x:v>
      </x:c>
      <x:c r="I8" s="14" t="str">
        <x:v>疑似符合，待人工复核</x:v>
      </x:c>
      <x:c r="J8" s="10" t="str">
        <x:v>https://www.tiktok.com/@fixture_suspected</x:v>
      </x:c>
      <x:c r="K8" s="13" t="d">
        <x:v>2026-10-21T12:00:00.000Z</x:v>
      </x:c>
      <x:c r="L8" s="10" t="str">
        <x:v>内容：2026-10-15T00:00:00.000Z Christian discussion（https://www.tiktok.com/@fixture_suspected/video/7777777777777777772）； Christian discussion（https://www.tiktok.com/@fixture_suspected/video/7777777777777777772）；公开原文尚不足以同时确认目标主题与内容形式，待人工复核。
邮箱：public@example.com；来源 https://www.tiktok.com/@fixture_suspected，采集 2026-10-21T04:00:00Z。
播放：2026-10-10T16:00:00.000Z 至 2026-10-20T16:00:00.000Z（结束不含），1条视频，算术均播60000，须严格大于50000；覆盖完整。
地区：最新公开视频locationCreated=US；字段不证明本人现居地。
判定：suspected；content_requires_human_review。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670000076293945" hidden="0" customWidth="1"/>
    <x:col min="2" max="2" width="21.670000076293945" hidden="0" customWidth="1"/>
    <x:col min="3" max="3" width="42.220001220703125" hidden="0" customWidth="1"/>
    <x:col min="4" max="4" width="72.22000122070312" hidden="0" customWidth="1"/>
    <x:col min="5" max="5" width="55.560001373291016" hidden="0" customWidth="1"/>
    <x:col min="6" max="6" width="35.560001373291016" hidden="0" customWidth="1"/>
    <x:col min="7" max="7" width="19.440000534057617" hidden="0" customWidth="1"/>
  </x:cols>
  <x:sheetData>
    <x:row r="1" ht="32" customHeight="1">
      <x:c r="A1" s="4" t="str">
        <x:v>账号</x:v>
      </x:c>
      <x:c r="B1" s="4" t="str">
        <x:v>作者ID</x:v>
      </x:c>
      <x:c r="C1" s="4" t="str">
        <x:v>公开Bio原文</x:v>
      </x:c>
      <x:c r="D1" s="4" t="str">
        <x:v>内容方向证据</x:v>
      </x:c>
      <x:c r="E1" s="4" t="str">
        <x:v>地区字段证据</x:v>
      </x:c>
      <x:c r="F1" s="4" t="str">
        <x:v>主页链接</x:v>
      </x:c>
      <x:c r="G1" s="4" t="str">
        <x:v>采集时间（上海）</x:v>
      </x:c>
    </x:row>
    <x:row r="2" ht="56" hidden="0" customHeight="1">
      <x:c r="A2" s="2" t="str">
        <x:v>@fixture_confirmed</x:v>
      </x:c>
      <x:c r="B2" s="8" t="str">
        <x:v>9000000000000000001</x:v>
      </x:c>
      <x:c r="C2" s="10" t="str">
        <x:v>public@example.com</x:v>
      </x:c>
      <x:c r="D2" s="10" t="str">
        <x:v>2026-10-15T00:00:00.000Z #christianskit https://www.tiktok.com/@fixture_confirmed/video/7777777777777777771
 #christianskit https://www.tiktok.com/@fixture_confirmed/video/7777777777777777771
 #christianskit https://www.tiktok.com/@fixture_confirmed/video/7777777777777777771</x:v>
      </x:c>
      <x:c r="E2" s="10" t="str">
        <x:v>itemList[].locationCreated: US; https://www.tiktok.com/@fixture_confirmed/video/7777777777777777771; 2026-10-21T04:00:00Z</x:v>
      </x:c>
      <x:c r="F2" s="10" t="str">
        <x:v>https://www.tiktok.com/@fixture_confirmed</x:v>
      </x:c>
      <x:c r="G2" s="9" t="d">
        <x:v>2026-10-21T12:00:00.000Z</x:v>
      </x:c>
    </x:row>
    <x:row r="3" ht="44" hidden="0" customHeight="1">
      <x:c r="A3" s="2" t="str">
        <x:v>@fixture_suspected</x:v>
      </x:c>
      <x:c r="B3" s="8" t="str">
        <x:v>9000000000000000002</x:v>
      </x:c>
      <x:c r="C3" s="10" t="str">
        <x:v>public@example.com</x:v>
      </x:c>
      <x:c r="D3" s="10" t="str">
        <x:v>2026-10-15T00:00:00.000Z Christian discussion https://www.tiktok.com/@fixture_suspected/video/7777777777777777772
 Christian discussion https://www.tiktok.com/@fixture_suspected/video/7777777777777777772</x:v>
      </x:c>
      <x:c r="E3" s="10" t="str">
        <x:v>itemList[].locationCreated: US; https://www.tiktok.com/@fixture_suspected/video/7777777777777777772; 2026-10-21T04:00:00Z</x:v>
      </x:c>
      <x:c r="F3" s="10" t="str">
        <x:v>https://www.tiktok.com/@fixture_suspected</x:v>
      </x:c>
      <x:c r="G3" s="9" t="d">
        <x:v>2026-10-21T12:00:00.000Z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670000076293945" hidden="0" customWidth="1"/>
    <x:col min="2" max="2" width="21.670000076293945" hidden="0" customWidth="1"/>
    <x:col min="3" max="3" width="23.329999923706055" hidden="0" customWidth="1"/>
    <x:col min="4" max="4" width="19.440000534057617" hidden="0" customWidth="1"/>
    <x:col min="5" max="5" width="13.329999923706055" hidden="0" customWidth="1"/>
    <x:col min="6" max="6" width="11.109999656677246" hidden="0" customWidth="1"/>
    <x:col min="7" max="7" width="11.109999656677246" hidden="0" customWidth="1"/>
    <x:col min="8" max="8" width="42.220001220703125" hidden="0" customWidth="1"/>
    <x:col min="9" max="9" width="19.440000534057617" hidden="0" customWidth="1"/>
    <x:col min="10" max="10" width="26.670000076293945" hidden="0" customWidth="1"/>
  </x:cols>
  <x:sheetData>
    <x:row r="1" ht="32" customHeight="1">
      <x:c r="A1" s="4" t="str">
        <x:v>账号</x:v>
      </x:c>
      <x:c r="B1" s="4" t="str">
        <x:v>作者ID</x:v>
      </x:c>
      <x:c r="C1" s="4" t="str">
        <x:v>作品ID</x:v>
      </x:c>
      <x:c r="D1" s="4" t="str">
        <x:v>发布时间（上海）</x:v>
      </x:c>
      <x:c r="E1" s="4" t="str">
        <x:v>播放量</x:v>
      </x:c>
      <x:c r="F1" s="4" t="str">
        <x:v>计入窗口</x:v>
      </x:c>
      <x:c r="G1" s="4" t="str">
        <x:v>是否置顶</x:v>
      </x:c>
      <x:c r="H1" s="4" t="str">
        <x:v>作品链接</x:v>
      </x:c>
      <x:c r="I1" s="4" t="str">
        <x:v>采集时间（上海）</x:v>
      </x:c>
      <x:c r="J1" s="4" t="str">
        <x:v>数据来源</x:v>
      </x:c>
    </x:row>
    <x:row r="2" ht="24" customHeight="1">
      <x:c r="A2" s="2" t="str">
        <x:v>@fixture_confirmed</x:v>
      </x:c>
      <x:c r="B2" s="8" t="str">
        <x:v>9000000000000000001</x:v>
      </x:c>
      <x:c r="C2" s="8" t="str">
        <x:v>7777777777777777771</x:v>
      </x:c>
      <x:c r="D2" s="9" t="d">
        <x:v>2026-10-15T08:00:00.000Z</x:v>
      </x:c>
      <x:c r="E2" s="6" t="n">
        <x:v>60000</x:v>
      </x:c>
      <x:c r="F2" s="6" t="n">
        <x:v>1</x:v>
      </x:c>
      <x:c r="G2" s="2" t="str">
        <x:v>否</x:v>
      </x:c>
      <x:c r="H2" s="2" t="str">
        <x:v>https://www.tiktok.com/@fixture_confirmed/video/7777777777777777771</x:v>
      </x:c>
      <x:c r="I2" s="9" t="d">
        <x:v>2026-10-21T12:00:00.000Z</x:v>
      </x:c>
      <x:c r="J2" s="2" t="str">
        <x:v>ego_passive_profile_item_list</x:v>
      </x:c>
    </x:row>
    <x:row r="3" ht="24" customHeight="1">
      <x:c r="A3" s="2" t="str">
        <x:v>@fixture_suspected</x:v>
      </x:c>
      <x:c r="B3" s="8" t="str">
        <x:v>9000000000000000002</x:v>
      </x:c>
      <x:c r="C3" s="8" t="str">
        <x:v>7777777777777777772</x:v>
      </x:c>
      <x:c r="D3" s="9" t="d">
        <x:v>2026-10-15T08:00:00.000Z</x:v>
      </x:c>
      <x:c r="E3" s="6" t="n">
        <x:v>60000</x:v>
      </x:c>
      <x:c r="F3" s="6" t="n">
        <x:v>1</x:v>
      </x:c>
      <x:c r="G3" s="2" t="str">
        <x:v>否</x:v>
      </x:c>
      <x:c r="H3" s="2" t="str">
        <x:v>https://www.tiktok.com/@fixture_suspected/video/7777777777777777772</x:v>
      </x:c>
      <x:c r="I3" s="9" t="d">
        <x:v>2026-10-21T12:00:00.000Z</x:v>
      </x:c>
      <x:c r="J3" s="2" t="str">
        <x:v>ego_passive_profile_item_list</x:v>
      </x:c>
    </x:row>
  </x:sheetData>
  <x:pageMargins left="0.7" right="0.7" top="0.75" bottom="0.75" header="0.3" footer="0.3"/>
</x:worksheet>
</file>